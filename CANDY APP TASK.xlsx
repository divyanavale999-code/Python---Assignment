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y\Desktop\TOPS TECHNOLOGIES\EXCEL LACTURE FILES\"/>
    </mc:Choice>
  </mc:AlternateContent>
  <xr:revisionPtr revIDLastSave="0" documentId="13_ncr:1_{F7A8C2C4-902C-4A34-B05E-BA9EA223A5DD}" xr6:coauthVersionLast="47" xr6:coauthVersionMax="47" xr10:uidLastSave="{00000000-0000-0000-0000-000000000000}"/>
  <bookViews>
    <workbookView xWindow="-120" yWindow="-120" windowWidth="20730" windowHeight="11040" xr2:uid="{25016B67-B2A4-412E-9525-652C52B3F7F8}"/>
  </bookViews>
  <sheets>
    <sheet name="Sheet2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E91" i="1"/>
  <c r="E92" i="1" a="1"/>
  <c r="E92" i="1" s="1"/>
  <c r="D92" i="1" a="1"/>
  <c r="D92" i="1" s="1"/>
  <c r="E104" i="1" a="1"/>
  <c r="E104" i="1" s="1"/>
  <c r="E103" i="1" a="1"/>
  <c r="E103" i="1" s="1"/>
  <c r="E102" i="1" a="1"/>
  <c r="E102" i="1" s="1"/>
  <c r="E101" i="1" a="1"/>
  <c r="E101" i="1" s="1"/>
  <c r="E100" i="1" a="1"/>
  <c r="E100" i="1" s="1"/>
  <c r="E99" i="1" a="1"/>
  <c r="E99" i="1" s="1"/>
  <c r="E98" i="1" a="1"/>
  <c r="E98" i="1" s="1"/>
  <c r="E115" i="1" a="1"/>
  <c r="E115" i="1" s="1"/>
  <c r="E114" i="1" a="1"/>
  <c r="E114" i="1" s="1"/>
  <c r="E113" i="1" a="1"/>
  <c r="E113" i="1" s="1"/>
  <c r="E112" i="1" a="1"/>
  <c r="E112" i="1" s="1"/>
  <c r="E111" i="1" a="1"/>
  <c r="E111" i="1" s="1"/>
  <c r="E110" i="1" a="1"/>
  <c r="E110" i="1" s="1"/>
  <c r="E109" i="1" a="1"/>
  <c r="E109" i="1" s="1"/>
  <c r="D109" i="1"/>
  <c r="D110" i="1"/>
  <c r="D111" i="1"/>
  <c r="D112" i="1"/>
  <c r="D113" i="1"/>
  <c r="D114" i="1"/>
  <c r="D115" i="1"/>
  <c r="D104" i="1" l="1"/>
  <c r="D103" i="1"/>
  <c r="D102" i="1"/>
  <c r="D101" i="1"/>
  <c r="D100" i="1"/>
  <c r="D99" i="1"/>
  <c r="F82" i="1"/>
  <c r="F81" i="1"/>
  <c r="F80" i="1"/>
  <c r="E82" i="1"/>
  <c r="E80" i="1"/>
  <c r="E81" i="1"/>
  <c r="D82" i="1"/>
  <c r="D80" i="1"/>
  <c r="D81" i="1"/>
  <c r="D73" i="1"/>
  <c r="D72" i="1"/>
  <c r="D71" i="1"/>
  <c r="D70" i="1"/>
  <c r="D69" i="1"/>
  <c r="D67" i="1"/>
  <c r="D68" i="1"/>
  <c r="F61" i="1"/>
  <c r="F60" i="1"/>
  <c r="F58" i="1"/>
  <c r="F57" i="1"/>
  <c r="F56" i="1"/>
  <c r="F55" i="1"/>
  <c r="F54" i="1"/>
  <c r="F53" i="1"/>
  <c r="F52" i="1"/>
  <c r="D39" i="1"/>
  <c r="D37" i="1" l="1"/>
  <c r="C30" i="1"/>
  <c r="D46" i="1"/>
  <c r="D36" i="1"/>
  <c r="D24" i="1" l="1"/>
  <c r="D12" i="1"/>
  <c r="D17" i="1"/>
  <c r="F91" i="1"/>
  <c r="D89" i="1"/>
  <c r="D98" i="1"/>
  <c r="D91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<sst xmlns="http://schemas.openxmlformats.org/spreadsheetml/2006/main" count="126" uniqueCount="58">
  <si>
    <t>Month</t>
  </si>
  <si>
    <t>App</t>
  </si>
  <si>
    <t>Downloads</t>
  </si>
  <si>
    <t>Uninstalls</t>
  </si>
  <si>
    <t>5 star ratings</t>
  </si>
  <si>
    <t>1 star ratings</t>
  </si>
  <si>
    <t>Total ratings</t>
  </si>
  <si>
    <t>Total downloads for Sugar Rush</t>
  </si>
  <si>
    <t>Crushed by Candies</t>
  </si>
  <si>
    <t>Chocolate Crossing</t>
  </si>
  <si>
    <t>Sugar Rush</t>
  </si>
  <si>
    <t>Angry Bites</t>
  </si>
  <si>
    <t xml:space="preserve"> </t>
  </si>
  <si>
    <t>Where is my Coco?</t>
  </si>
  <si>
    <t>Total downloads for C apps</t>
  </si>
  <si>
    <t>Subway Wafers</t>
  </si>
  <si>
    <t>Temple Bun</t>
  </si>
  <si>
    <t>Starting with</t>
  </si>
  <si>
    <t>c</t>
  </si>
  <si>
    <t>c&amp;"*"</t>
  </si>
  <si>
    <t>Total Downloads</t>
  </si>
  <si>
    <t>Uninstalls in December 2021</t>
  </si>
  <si>
    <t>Downloads in Oct, Nov, Dec 2021</t>
  </si>
  <si>
    <t>data[Month],"&gt;="&amp;Date, data[Month],"&lt;="&amp;Date</t>
  </si>
  <si>
    <t>Start</t>
  </si>
  <si>
    <t>End</t>
  </si>
  <si>
    <t>How many times we had more than 8000 downloads per app month?</t>
  </si>
  <si>
    <t>5 star rating % for Sugar Rush</t>
  </si>
  <si>
    <t>Total 5 star ratings</t>
  </si>
  <si>
    <t>Total Ratings</t>
  </si>
  <si>
    <t>5 star %</t>
  </si>
  <si>
    <t>Average uninstalls for Subway Wafers</t>
  </si>
  <si>
    <t>Average uninstalls</t>
  </si>
  <si>
    <t>Which month has highest uninstall ratio?</t>
  </si>
  <si>
    <t>Uninstall ratio</t>
  </si>
  <si>
    <t>Highest</t>
  </si>
  <si>
    <t>Month name</t>
  </si>
  <si>
    <t>Average monthly downloads</t>
  </si>
  <si>
    <t>Avg. Downloads</t>
  </si>
  <si>
    <t>Most downloads in any month / app? 2nd and 3rd places also?</t>
  </si>
  <si>
    <t>Which month and app was that?</t>
  </si>
  <si>
    <t>App name</t>
  </si>
  <si>
    <t>month</t>
  </si>
  <si>
    <t>Most downloads</t>
  </si>
  <si>
    <t>2nd</t>
  </si>
  <si>
    <t>3rd</t>
  </si>
  <si>
    <t>In October 2021, which app has most 1star ratings?</t>
  </si>
  <si>
    <t>Does it change by December 2021?</t>
  </si>
  <si>
    <t>Most 1star ratings</t>
  </si>
  <si>
    <t>App name (WRONG)</t>
  </si>
  <si>
    <t>App name (RIGHT)</t>
  </si>
  <si>
    <t>What are the best download figures for each app?</t>
  </si>
  <si>
    <t>Apps</t>
  </si>
  <si>
    <t>Most downloads ever</t>
  </si>
  <si>
    <t>What is the least downloaded app in each month?</t>
  </si>
  <si>
    <t>Least Downloads</t>
  </si>
  <si>
    <t xml:space="preserve">       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</si>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</sst>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0.0"/>
    <numFmt numFmtId="166" formatCode="0.000%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00B05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3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3" borderId="1" xfId="0" applyNumberFormat="1" applyFill="1" applyBorder="1"/>
    <xf numFmtId="15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4" borderId="1" xfId="1" applyFont="1" applyFill="1" applyBorder="1"/>
    <xf numFmtId="10" fontId="0" fillId="0" borderId="0" xfId="0" applyNumberFormat="1"/>
    <xf numFmtId="165" fontId="0" fillId="4" borderId="1" xfId="0" applyNumberFormat="1" applyFill="1" applyBorder="1"/>
    <xf numFmtId="0" fontId="2" fillId="3" borderId="1" xfId="0" applyFont="1" applyFill="1" applyBorder="1"/>
    <xf numFmtId="17" fontId="0" fillId="3" borderId="1" xfId="0" applyNumberFormat="1" applyFill="1" applyBorder="1" applyAlignment="1">
      <alignment horizontal="left"/>
    </xf>
    <xf numFmtId="166" fontId="0" fillId="0" borderId="1" xfId="1" applyNumberFormat="1" applyFont="1" applyBorder="1"/>
    <xf numFmtId="166" fontId="0" fillId="4" borderId="1" xfId="1" applyNumberFormat="1" applyFont="1" applyFill="1" applyBorder="1"/>
    <xf numFmtId="17" fontId="0" fillId="2" borderId="1" xfId="0" applyNumberFormat="1" applyFill="1" applyBorder="1"/>
    <xf numFmtId="2" fontId="0" fillId="4" borderId="1" xfId="0" applyNumberFormat="1" applyFill="1" applyBorder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6" borderId="1" xfId="0" applyFill="1" applyBorder="1"/>
    <xf numFmtId="17" fontId="0" fillId="6" borderId="1" xfId="0" applyNumberFormat="1" applyFill="1" applyBorder="1"/>
    <xf numFmtId="17" fontId="2" fillId="3" borderId="1" xfId="0" applyNumberFormat="1" applyFont="1" applyFill="1" applyBorder="1"/>
    <xf numFmtId="0" fontId="4" fillId="0" borderId="1" xfId="0" applyFont="1" applyBorder="1"/>
    <xf numFmtId="0" fontId="0" fillId="6" borderId="1" xfId="0" applyFill="1" applyBorder="1" applyAlignment="1">
      <alignment horizontal="right"/>
    </xf>
    <xf numFmtId="0" fontId="5" fillId="0" borderId="1" xfId="0" applyFont="1" applyBorder="1"/>
    <xf numFmtId="0" fontId="2" fillId="3" borderId="1" xfId="0" applyFon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0" fontId="0" fillId="0" borderId="1" xfId="1" applyNumberFormat="1" applyFont="1" applyBorder="1"/>
  </cellXfs>
  <cellStyles count="2">
    <cellStyle name="Normal" xfId="0" builtinId="0"/>
    <cellStyle name="Percent" xfId="1" builtinId="5"/>
  </cellStyles>
  <dxfs count="8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[$-409]mmmm\-yy;@"/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D5AFE7-EB27-4A4B-B557-ADEDAAAA5529}" name="data" displayName="data" ref="I3:O52" totalsRowShown="0" headerRowDxfId="7" dataDxfId="6">
  <tableColumns count="7">
    <tableColumn id="1" xr3:uid="{77EB142C-57A7-43D3-AFB8-0710F0A162E9}" name="Month" dataDxfId="5"/>
    <tableColumn id="2" xr3:uid="{1AD5E1DA-4A03-4DA0-822E-89B77F7D9873}" name="App"/>
    <tableColumn id="3" xr3:uid="{C0D08982-7BAD-4701-922F-F429AD5C87F1}" name="Downloads" dataDxfId="4"/>
    <tableColumn id="4" xr3:uid="{FB622C4D-679F-4372-BB3D-8049EEE0FB00}" name="Uninstalls" dataDxfId="3"/>
    <tableColumn id="5" xr3:uid="{0A648E01-53EA-4F7B-820F-A111942C72ED}" name="5 star ratings" dataDxfId="2"/>
    <tableColumn id="6" xr3:uid="{4745C901-4D5D-4E5F-A7FA-29019C251026}" name="1 star ratings" dataDxfId="1"/>
    <tableColumn id="7" xr3:uid="{CBCE81C5-8E63-40FA-B1BA-043E18661AB7}" name="Total ratings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34A89-D101-4E12-938A-C5310A2F84BC}">
  <dimension ref="B3:O115"/>
  <sheetViews>
    <sheetView tabSelected="1" zoomScaleNormal="100" workbookViewId="0">
      <selection activeCell="D20" sqref="D20"/>
    </sheetView>
  </sheetViews>
  <sheetFormatPr defaultRowHeight="14.25"/>
  <cols>
    <col min="1" max="1" width="1.75" customWidth="1"/>
    <col min="2" max="2" width="4.375" customWidth="1"/>
    <col min="3" max="3" width="17.75" customWidth="1"/>
    <col min="4" max="4" width="21.75" customWidth="1"/>
    <col min="5" max="5" width="20.625" customWidth="1"/>
    <col min="6" max="6" width="15.25" customWidth="1"/>
    <col min="7" max="8" width="5.25" customWidth="1"/>
    <col min="9" max="9" width="13.75" bestFit="1" customWidth="1"/>
    <col min="10" max="10" width="18.625" bestFit="1" customWidth="1"/>
    <col min="11" max="11" width="10.875" bestFit="1" customWidth="1"/>
    <col min="12" max="12" width="9.875" bestFit="1" customWidth="1"/>
    <col min="13" max="14" width="12.375" bestFit="1" customWidth="1"/>
    <col min="15" max="15" width="11.875" bestFit="1" customWidth="1"/>
  </cols>
  <sheetData>
    <row r="3" spans="2:15">
      <c r="I3" s="1" t="s">
        <v>0</v>
      </c>
      <c r="J3" s="2" t="s">
        <v>1</v>
      </c>
      <c r="K3" s="3" t="s">
        <v>2</v>
      </c>
      <c r="L3" s="3" t="s">
        <v>3</v>
      </c>
      <c r="M3" s="3" t="s">
        <v>4</v>
      </c>
      <c r="N3" s="3" t="s">
        <v>5</v>
      </c>
      <c r="O3" s="3" t="s">
        <v>6</v>
      </c>
    </row>
    <row r="4" spans="2:15" ht="15">
      <c r="B4" s="4">
        <v>1</v>
      </c>
      <c r="C4" t="s">
        <v>7</v>
      </c>
      <c r="I4" s="5">
        <v>44348</v>
      </c>
      <c r="J4" t="s">
        <v>8</v>
      </c>
      <c r="K4" s="6">
        <v>7079</v>
      </c>
      <c r="L4" s="6">
        <v>141</v>
      </c>
      <c r="M4" s="6">
        <v>89</v>
      </c>
      <c r="N4" s="6">
        <v>60</v>
      </c>
      <c r="O4" s="6">
        <v>879</v>
      </c>
    </row>
    <row r="5" spans="2:15">
      <c r="I5" s="5">
        <v>44348</v>
      </c>
      <c r="J5" t="s">
        <v>9</v>
      </c>
      <c r="K5" s="6">
        <v>7683</v>
      </c>
      <c r="L5" s="6">
        <v>153</v>
      </c>
      <c r="M5" s="6">
        <v>78</v>
      </c>
      <c r="N5" s="6">
        <v>41</v>
      </c>
      <c r="O5" s="6">
        <v>702</v>
      </c>
    </row>
    <row r="6" spans="2:15">
      <c r="C6" s="7" t="s">
        <v>10</v>
      </c>
      <c r="D6">
        <f>SUMIF(data[App],"SUGAR RUSH",data[Downloads])</f>
        <v>43718</v>
      </c>
      <c r="I6" s="5">
        <v>44348</v>
      </c>
      <c r="J6" t="s">
        <v>11</v>
      </c>
      <c r="K6" s="6">
        <v>4681</v>
      </c>
      <c r="L6" s="6">
        <v>93</v>
      </c>
      <c r="M6" s="6">
        <v>99</v>
      </c>
      <c r="N6" s="6">
        <v>53</v>
      </c>
      <c r="O6" s="6">
        <v>897</v>
      </c>
    </row>
    <row r="7" spans="2:15">
      <c r="C7" s="8"/>
      <c r="E7" t="s">
        <v>12</v>
      </c>
      <c r="I7" s="5">
        <v>44348</v>
      </c>
      <c r="J7" t="s">
        <v>13</v>
      </c>
      <c r="K7" s="6">
        <v>4373</v>
      </c>
      <c r="L7" s="6">
        <v>87</v>
      </c>
      <c r="M7" s="6">
        <v>86</v>
      </c>
      <c r="N7" s="6">
        <v>51</v>
      </c>
      <c r="O7" s="6">
        <v>808</v>
      </c>
    </row>
    <row r="8" spans="2:15">
      <c r="I8" s="5">
        <v>44348</v>
      </c>
      <c r="J8" t="s">
        <v>10</v>
      </c>
      <c r="K8" s="6">
        <v>3499</v>
      </c>
      <c r="L8" s="6">
        <v>69</v>
      </c>
      <c r="M8" s="6">
        <v>91</v>
      </c>
      <c r="N8" s="6">
        <v>42</v>
      </c>
      <c r="O8" s="6">
        <v>785</v>
      </c>
    </row>
    <row r="9" spans="2:15" ht="15">
      <c r="B9" s="4">
        <v>2</v>
      </c>
      <c r="C9" t="s">
        <v>14</v>
      </c>
      <c r="I9" s="5">
        <v>44348</v>
      </c>
      <c r="J9" t="s">
        <v>15</v>
      </c>
      <c r="K9" s="6">
        <v>5649</v>
      </c>
      <c r="L9" s="6">
        <v>112</v>
      </c>
      <c r="M9" s="6">
        <v>78</v>
      </c>
      <c r="N9" s="6">
        <v>31</v>
      </c>
      <c r="O9" s="6">
        <v>643</v>
      </c>
    </row>
    <row r="10" spans="2:15">
      <c r="I10" s="5">
        <v>44348</v>
      </c>
      <c r="J10" t="s">
        <v>16</v>
      </c>
      <c r="K10" s="6">
        <v>1837</v>
      </c>
      <c r="L10" s="6">
        <v>36</v>
      </c>
      <c r="M10" s="6">
        <v>111</v>
      </c>
      <c r="N10" s="6">
        <v>38</v>
      </c>
      <c r="O10" s="6">
        <v>879</v>
      </c>
    </row>
    <row r="11" spans="2:15">
      <c r="C11" s="7" t="s">
        <v>17</v>
      </c>
      <c r="D11" s="9" t="s">
        <v>18</v>
      </c>
      <c r="E11" t="s">
        <v>19</v>
      </c>
      <c r="I11" s="5">
        <v>44378</v>
      </c>
      <c r="J11" t="s">
        <v>8</v>
      </c>
      <c r="K11" s="6">
        <v>8586</v>
      </c>
      <c r="L11" s="6">
        <v>171</v>
      </c>
      <c r="M11" s="6">
        <v>81</v>
      </c>
      <c r="N11" s="6">
        <v>52</v>
      </c>
      <c r="O11" s="6">
        <v>785</v>
      </c>
    </row>
    <row r="12" spans="2:15">
      <c r="C12" s="8" t="s">
        <v>20</v>
      </c>
      <c r="D12" s="10">
        <f>SUMIF(data[App], "C"&amp;"*",data[Downloads])</f>
        <v>91536</v>
      </c>
      <c r="I12" s="5">
        <v>44378</v>
      </c>
      <c r="J12" t="s">
        <v>9</v>
      </c>
      <c r="K12" s="6">
        <v>7098</v>
      </c>
      <c r="L12" s="6">
        <v>141</v>
      </c>
      <c r="M12" s="6">
        <v>96</v>
      </c>
      <c r="N12" s="6">
        <v>35</v>
      </c>
      <c r="O12" s="6">
        <v>773</v>
      </c>
    </row>
    <row r="13" spans="2:15">
      <c r="I13" s="5">
        <v>44378</v>
      </c>
      <c r="J13" t="s">
        <v>11</v>
      </c>
      <c r="K13" s="6">
        <v>7066</v>
      </c>
      <c r="L13" s="6">
        <v>141</v>
      </c>
      <c r="M13" s="6">
        <v>64</v>
      </c>
      <c r="N13" s="6">
        <v>32</v>
      </c>
      <c r="O13" s="6">
        <v>566</v>
      </c>
    </row>
    <row r="14" spans="2:15" ht="15">
      <c r="B14" s="4">
        <v>3</v>
      </c>
      <c r="C14" t="s">
        <v>21</v>
      </c>
      <c r="I14" s="5">
        <v>44378</v>
      </c>
      <c r="J14" t="s">
        <v>13</v>
      </c>
      <c r="K14" s="6">
        <v>6806</v>
      </c>
      <c r="L14" s="6">
        <v>136</v>
      </c>
      <c r="M14" s="6">
        <v>83</v>
      </c>
      <c r="N14" s="6">
        <v>47</v>
      </c>
      <c r="O14" s="6">
        <v>684</v>
      </c>
    </row>
    <row r="15" spans="2:15">
      <c r="I15" s="5">
        <v>44378</v>
      </c>
      <c r="J15" t="s">
        <v>10</v>
      </c>
      <c r="K15" s="6">
        <v>5702</v>
      </c>
      <c r="L15" s="6">
        <v>114</v>
      </c>
      <c r="M15" s="6">
        <v>87</v>
      </c>
      <c r="N15" s="6">
        <v>46</v>
      </c>
      <c r="O15" s="6">
        <v>785</v>
      </c>
    </row>
    <row r="16" spans="2:15">
      <c r="C16" s="7" t="s">
        <v>0</v>
      </c>
      <c r="D16" s="11">
        <v>44531</v>
      </c>
      <c r="I16" s="5">
        <v>44378</v>
      </c>
      <c r="J16" t="s">
        <v>15</v>
      </c>
      <c r="K16" s="6">
        <v>4576</v>
      </c>
      <c r="L16" s="6">
        <v>91</v>
      </c>
      <c r="M16" s="6">
        <v>76</v>
      </c>
      <c r="N16" s="6">
        <v>39</v>
      </c>
      <c r="O16" s="6">
        <v>679</v>
      </c>
    </row>
    <row r="17" spans="2:15">
      <c r="C17" s="8" t="s">
        <v>3</v>
      </c>
      <c r="D17" s="8">
        <f>SUMIF(data[Month],"DECEMBER-21",data[Uninstalls])</f>
        <v>783</v>
      </c>
      <c r="I17" s="5">
        <v>44378</v>
      </c>
      <c r="J17" t="s">
        <v>16</v>
      </c>
      <c r="K17" s="6">
        <v>5004</v>
      </c>
      <c r="L17" s="6">
        <v>100</v>
      </c>
      <c r="M17" s="6">
        <v>135</v>
      </c>
      <c r="N17" s="6">
        <v>50</v>
      </c>
      <c r="O17" s="6">
        <v>1092</v>
      </c>
    </row>
    <row r="18" spans="2:15">
      <c r="I18" s="5">
        <v>44409</v>
      </c>
      <c r="J18" t="s">
        <v>8</v>
      </c>
      <c r="K18" s="6">
        <v>4856</v>
      </c>
      <c r="L18" s="6">
        <v>97</v>
      </c>
      <c r="M18" s="6">
        <v>87</v>
      </c>
      <c r="N18" s="6">
        <v>25</v>
      </c>
      <c r="O18" s="6">
        <v>661</v>
      </c>
    </row>
    <row r="19" spans="2:15" ht="15">
      <c r="B19" s="4">
        <v>4</v>
      </c>
      <c r="C19" t="s">
        <v>22</v>
      </c>
      <c r="E19" t="s">
        <v>23</v>
      </c>
      <c r="I19" s="5">
        <v>44409</v>
      </c>
      <c r="J19" t="s">
        <v>9</v>
      </c>
      <c r="K19" s="6">
        <v>10028</v>
      </c>
      <c r="L19" s="6">
        <v>200</v>
      </c>
      <c r="M19" s="6">
        <v>124</v>
      </c>
      <c r="N19" s="6">
        <v>39</v>
      </c>
      <c r="O19" s="6">
        <v>962</v>
      </c>
    </row>
    <row r="20" spans="2:15">
      <c r="I20" s="5">
        <v>44409</v>
      </c>
      <c r="J20" t="s">
        <v>11</v>
      </c>
      <c r="K20" s="6">
        <v>7909</v>
      </c>
      <c r="L20" s="6">
        <v>158</v>
      </c>
      <c r="M20" s="6">
        <v>137</v>
      </c>
      <c r="N20" s="6">
        <v>32</v>
      </c>
      <c r="O20" s="6">
        <v>997</v>
      </c>
    </row>
    <row r="21" spans="2:15">
      <c r="C21" s="7" t="s">
        <v>24</v>
      </c>
      <c r="D21" s="12">
        <v>44470</v>
      </c>
      <c r="I21" s="5">
        <v>44409</v>
      </c>
      <c r="J21" t="s">
        <v>13</v>
      </c>
      <c r="K21" s="6">
        <v>5233</v>
      </c>
      <c r="L21" s="6">
        <v>104</v>
      </c>
      <c r="M21" s="6">
        <v>78</v>
      </c>
      <c r="N21" s="6">
        <v>31</v>
      </c>
      <c r="O21" s="6">
        <v>643</v>
      </c>
    </row>
    <row r="22" spans="2:15">
      <c r="C22" s="7" t="s">
        <v>25</v>
      </c>
      <c r="D22" s="12">
        <v>44561</v>
      </c>
      <c r="I22" s="5">
        <v>44409</v>
      </c>
      <c r="J22" t="s">
        <v>10</v>
      </c>
      <c r="K22" s="6">
        <v>6782</v>
      </c>
      <c r="L22" s="6">
        <v>135</v>
      </c>
      <c r="M22" s="6">
        <v>70</v>
      </c>
      <c r="N22" s="6">
        <v>45</v>
      </c>
      <c r="O22" s="6">
        <v>679</v>
      </c>
    </row>
    <row r="23" spans="2:15">
      <c r="I23" s="5">
        <v>44409</v>
      </c>
      <c r="J23" t="s">
        <v>15</v>
      </c>
      <c r="K23" s="6">
        <v>5429</v>
      </c>
      <c r="L23" s="6">
        <v>108</v>
      </c>
      <c r="M23" s="6">
        <v>81</v>
      </c>
      <c r="N23" s="6">
        <v>35</v>
      </c>
      <c r="O23" s="6">
        <v>684</v>
      </c>
    </row>
    <row r="24" spans="2:15">
      <c r="C24" s="8" t="s">
        <v>20</v>
      </c>
      <c r="D24" s="8">
        <f>SUMIFS(data[Downloads],data[Month],"&gt;="&amp;D21,data[Month],"&lt;="&amp;D22)</f>
        <v>122200</v>
      </c>
      <c r="I24" s="5">
        <v>44409</v>
      </c>
      <c r="J24" t="s">
        <v>16</v>
      </c>
      <c r="K24" s="6">
        <v>6825</v>
      </c>
      <c r="L24" s="6">
        <v>136</v>
      </c>
      <c r="M24" s="6">
        <v>122</v>
      </c>
      <c r="N24" s="6">
        <v>29</v>
      </c>
      <c r="O24" s="6">
        <v>891</v>
      </c>
    </row>
    <row r="25" spans="2:15">
      <c r="I25" s="5">
        <v>44440</v>
      </c>
      <c r="J25" t="s">
        <v>8</v>
      </c>
      <c r="K25" s="6">
        <v>7258</v>
      </c>
      <c r="L25" s="6">
        <v>145</v>
      </c>
      <c r="M25" s="6">
        <v>106</v>
      </c>
      <c r="N25" s="6">
        <v>38</v>
      </c>
      <c r="O25" s="6">
        <v>850</v>
      </c>
    </row>
    <row r="26" spans="2:15">
      <c r="I26" s="5">
        <v>44440</v>
      </c>
      <c r="J26" t="s">
        <v>9</v>
      </c>
      <c r="K26" s="6">
        <v>5735</v>
      </c>
      <c r="L26" s="6">
        <v>114</v>
      </c>
      <c r="M26" s="6">
        <v>77</v>
      </c>
      <c r="N26" s="6">
        <v>36</v>
      </c>
      <c r="O26" s="6">
        <v>667</v>
      </c>
    </row>
    <row r="27" spans="2:15" ht="15">
      <c r="B27" s="4">
        <v>5</v>
      </c>
      <c r="C27" t="s">
        <v>26</v>
      </c>
      <c r="I27" s="5">
        <v>44440</v>
      </c>
      <c r="J27" t="s">
        <v>11</v>
      </c>
      <c r="K27" s="6">
        <v>7899</v>
      </c>
      <c r="L27" s="6">
        <v>157</v>
      </c>
      <c r="M27" s="6">
        <v>51</v>
      </c>
      <c r="N27" s="6">
        <v>49</v>
      </c>
      <c r="O27" s="6">
        <v>590</v>
      </c>
    </row>
    <row r="28" spans="2:15">
      <c r="I28" s="5">
        <v>44440</v>
      </c>
      <c r="J28" t="s">
        <v>13</v>
      </c>
      <c r="K28" s="6">
        <v>6430</v>
      </c>
      <c r="L28" s="6">
        <v>128</v>
      </c>
      <c r="M28" s="6">
        <v>143</v>
      </c>
      <c r="N28" s="6">
        <v>49</v>
      </c>
      <c r="O28" s="6">
        <v>1133</v>
      </c>
    </row>
    <row r="29" spans="2:15">
      <c r="C29" s="7">
        <v>8000</v>
      </c>
      <c r="I29" s="5">
        <v>44440</v>
      </c>
      <c r="J29" t="s">
        <v>10</v>
      </c>
      <c r="K29" s="6">
        <v>7333</v>
      </c>
      <c r="L29" s="6">
        <v>146</v>
      </c>
      <c r="M29" s="6">
        <v>60</v>
      </c>
      <c r="N29" s="6">
        <v>60</v>
      </c>
      <c r="O29" s="6">
        <v>708</v>
      </c>
    </row>
    <row r="30" spans="2:15">
      <c r="C30" s="8">
        <f>COUNTIF(data[Downloads],"&gt;="&amp;C29)</f>
        <v>5</v>
      </c>
      <c r="I30" s="5">
        <v>44440</v>
      </c>
      <c r="J30" t="s">
        <v>15</v>
      </c>
      <c r="K30" s="6">
        <v>4879</v>
      </c>
      <c r="L30" s="6">
        <v>97</v>
      </c>
      <c r="M30" s="6">
        <v>126</v>
      </c>
      <c r="N30" s="6">
        <v>29</v>
      </c>
      <c r="O30" s="6">
        <v>915</v>
      </c>
    </row>
    <row r="31" spans="2:15">
      <c r="D31" t="s">
        <v>56</v>
      </c>
      <c r="I31" s="5">
        <v>44440</v>
      </c>
      <c r="J31" t="s">
        <v>16</v>
      </c>
      <c r="K31" s="6">
        <v>8453</v>
      </c>
      <c r="L31" s="6">
        <v>169</v>
      </c>
      <c r="M31" s="6">
        <v>84</v>
      </c>
      <c r="N31" s="6">
        <v>36</v>
      </c>
      <c r="O31" s="6">
        <v>708</v>
      </c>
    </row>
    <row r="32" spans="2:15" ht="15">
      <c r="B32" s="4">
        <v>6</v>
      </c>
      <c r="C32" t="s">
        <v>27</v>
      </c>
      <c r="I32" s="5">
        <v>44470</v>
      </c>
      <c r="J32" t="s">
        <v>8</v>
      </c>
      <c r="K32" s="6">
        <v>8050</v>
      </c>
      <c r="L32" s="6">
        <v>161</v>
      </c>
      <c r="M32" s="6">
        <v>104</v>
      </c>
      <c r="N32" s="6">
        <v>32</v>
      </c>
      <c r="O32" s="6">
        <v>802</v>
      </c>
    </row>
    <row r="33" spans="2:15">
      <c r="I33" s="5">
        <v>44470</v>
      </c>
      <c r="J33" t="s">
        <v>9</v>
      </c>
      <c r="K33" s="6">
        <v>4693</v>
      </c>
      <c r="L33" s="6">
        <v>93</v>
      </c>
      <c r="M33" s="6">
        <v>85</v>
      </c>
      <c r="N33" s="6">
        <v>46</v>
      </c>
      <c r="O33" s="6">
        <v>773</v>
      </c>
    </row>
    <row r="34" spans="2:15">
      <c r="I34" s="5">
        <v>44470</v>
      </c>
      <c r="J34" t="s">
        <v>11</v>
      </c>
      <c r="K34" s="6">
        <v>5165</v>
      </c>
      <c r="L34" s="6">
        <v>103</v>
      </c>
      <c r="M34" s="6">
        <v>95</v>
      </c>
      <c r="N34" s="6">
        <v>40</v>
      </c>
      <c r="O34" s="6">
        <v>797</v>
      </c>
    </row>
    <row r="35" spans="2:15">
      <c r="C35" s="7" t="s">
        <v>1</v>
      </c>
      <c r="D35" s="13" t="s">
        <v>10</v>
      </c>
      <c r="I35" s="5">
        <v>44470</v>
      </c>
      <c r="J35" t="s">
        <v>13</v>
      </c>
      <c r="K35" s="6">
        <v>4906</v>
      </c>
      <c r="L35" s="6">
        <v>98</v>
      </c>
      <c r="M35" s="6">
        <v>76</v>
      </c>
      <c r="N35" s="6">
        <v>47</v>
      </c>
      <c r="O35" s="6">
        <v>702</v>
      </c>
    </row>
    <row r="36" spans="2:15">
      <c r="C36" s="14" t="s">
        <v>28</v>
      </c>
      <c r="D36" s="15">
        <f>SUM(data[5 star ratings])</f>
        <v>4385</v>
      </c>
      <c r="I36" s="5">
        <v>44470</v>
      </c>
      <c r="J36" t="s">
        <v>10</v>
      </c>
      <c r="K36" s="6">
        <v>6032</v>
      </c>
      <c r="L36" s="6">
        <v>120</v>
      </c>
      <c r="M36" s="6">
        <v>65</v>
      </c>
      <c r="N36" s="6">
        <v>47</v>
      </c>
      <c r="O36" s="6">
        <v>661</v>
      </c>
    </row>
    <row r="37" spans="2:15">
      <c r="C37" s="14" t="s">
        <v>29</v>
      </c>
      <c r="D37" s="15">
        <f>SUM(data[Total ratings])</f>
        <v>37964</v>
      </c>
      <c r="I37" s="5">
        <v>44470</v>
      </c>
      <c r="J37" t="s">
        <v>15</v>
      </c>
      <c r="K37" s="6">
        <v>7092</v>
      </c>
      <c r="L37" s="6">
        <v>141</v>
      </c>
      <c r="M37" s="6">
        <v>68</v>
      </c>
      <c r="N37" s="6">
        <v>32</v>
      </c>
      <c r="O37" s="6">
        <v>590</v>
      </c>
    </row>
    <row r="38" spans="2:15">
      <c r="I38" s="5">
        <v>44470</v>
      </c>
      <c r="J38" t="s">
        <v>16</v>
      </c>
      <c r="K38" s="6">
        <v>4340</v>
      </c>
      <c r="L38" s="6">
        <v>86</v>
      </c>
      <c r="M38" s="6">
        <v>76</v>
      </c>
      <c r="N38" s="6">
        <v>30</v>
      </c>
      <c r="O38" s="6">
        <v>625</v>
      </c>
    </row>
    <row r="39" spans="2:15">
      <c r="C39" s="8" t="s">
        <v>30</v>
      </c>
      <c r="D39" s="16">
        <f>(D36/D37)</f>
        <v>0.11550416183753029</v>
      </c>
      <c r="E39" s="17" t="s">
        <v>12</v>
      </c>
      <c r="I39" s="5">
        <v>44501</v>
      </c>
      <c r="J39" t="s">
        <v>8</v>
      </c>
      <c r="K39" s="6">
        <v>7500</v>
      </c>
      <c r="L39" s="6">
        <v>150</v>
      </c>
      <c r="M39" s="6">
        <v>81</v>
      </c>
      <c r="N39" s="6">
        <v>56</v>
      </c>
      <c r="O39" s="6">
        <v>808</v>
      </c>
    </row>
    <row r="40" spans="2:15">
      <c r="I40" s="5">
        <v>44501</v>
      </c>
      <c r="J40" t="s">
        <v>9</v>
      </c>
      <c r="K40" s="6">
        <v>5520</v>
      </c>
      <c r="L40" s="6">
        <v>110</v>
      </c>
      <c r="M40" s="6">
        <v>97</v>
      </c>
      <c r="N40" s="6">
        <v>32</v>
      </c>
      <c r="O40" s="6">
        <v>761</v>
      </c>
    </row>
    <row r="41" spans="2:15">
      <c r="I41" s="5">
        <v>44501</v>
      </c>
      <c r="J41" t="s">
        <v>11</v>
      </c>
      <c r="K41" s="6">
        <v>5651</v>
      </c>
      <c r="L41" s="6">
        <v>113</v>
      </c>
      <c r="M41" s="6">
        <v>81</v>
      </c>
      <c r="N41" s="6">
        <v>40</v>
      </c>
      <c r="O41" s="6">
        <v>714</v>
      </c>
    </row>
    <row r="42" spans="2:15" ht="15">
      <c r="B42" s="4">
        <v>7</v>
      </c>
      <c r="C42" t="s">
        <v>31</v>
      </c>
      <c r="E42" t="s">
        <v>12</v>
      </c>
      <c r="I42" s="5">
        <v>44501</v>
      </c>
      <c r="J42" t="s">
        <v>13</v>
      </c>
      <c r="K42" s="6">
        <v>9195</v>
      </c>
      <c r="L42" s="6">
        <v>183</v>
      </c>
      <c r="M42" s="6">
        <v>117</v>
      </c>
      <c r="N42" s="6">
        <v>41</v>
      </c>
      <c r="O42" s="6">
        <v>932</v>
      </c>
    </row>
    <row r="43" spans="2:15">
      <c r="I43" s="5">
        <v>44501</v>
      </c>
      <c r="J43" t="s">
        <v>10</v>
      </c>
      <c r="K43" s="6">
        <v>7488</v>
      </c>
      <c r="L43" s="6">
        <v>149</v>
      </c>
      <c r="M43" s="6">
        <v>82</v>
      </c>
      <c r="N43" s="6">
        <v>50</v>
      </c>
      <c r="O43" s="6">
        <v>779</v>
      </c>
    </row>
    <row r="44" spans="2:15">
      <c r="I44" s="5">
        <v>44501</v>
      </c>
      <c r="J44" t="s">
        <v>15</v>
      </c>
      <c r="K44" s="6">
        <v>2849</v>
      </c>
      <c r="L44" s="6">
        <v>56</v>
      </c>
      <c r="M44" s="6">
        <v>92</v>
      </c>
      <c r="N44" s="6">
        <v>55</v>
      </c>
      <c r="O44" s="6">
        <v>867</v>
      </c>
    </row>
    <row r="45" spans="2:15">
      <c r="C45" s="7" t="s">
        <v>1</v>
      </c>
      <c r="D45" s="7" t="s">
        <v>15</v>
      </c>
      <c r="I45" s="5">
        <v>44501</v>
      </c>
      <c r="J45" t="s">
        <v>16</v>
      </c>
      <c r="K45" s="6">
        <v>4389</v>
      </c>
      <c r="L45" s="6">
        <v>87</v>
      </c>
      <c r="M45" s="6">
        <v>80</v>
      </c>
      <c r="N45" s="6">
        <v>51</v>
      </c>
      <c r="O45" s="6">
        <v>773</v>
      </c>
    </row>
    <row r="46" spans="2:15">
      <c r="C46" s="8" t="s">
        <v>32</v>
      </c>
      <c r="D46" s="18">
        <f>AVERAGE(data[Uninstalls])</f>
        <v>120.65306122448979</v>
      </c>
      <c r="I46" s="5">
        <v>44531</v>
      </c>
      <c r="J46" t="s">
        <v>8</v>
      </c>
      <c r="K46" s="6">
        <v>2297</v>
      </c>
      <c r="L46" s="6">
        <v>45</v>
      </c>
      <c r="M46" s="6">
        <v>76</v>
      </c>
      <c r="N46" s="6">
        <v>47</v>
      </c>
      <c r="O46" s="6">
        <v>726</v>
      </c>
    </row>
    <row r="47" spans="2:15">
      <c r="I47" s="5">
        <v>44531</v>
      </c>
      <c r="J47" t="s">
        <v>9</v>
      </c>
      <c r="K47" s="6">
        <v>5153</v>
      </c>
      <c r="L47" s="6">
        <v>103</v>
      </c>
      <c r="M47" s="6">
        <v>76</v>
      </c>
      <c r="N47" s="6">
        <v>49</v>
      </c>
      <c r="O47" s="6">
        <v>738</v>
      </c>
    </row>
    <row r="48" spans="2:15">
      <c r="I48" s="5">
        <v>44531</v>
      </c>
      <c r="J48" t="s">
        <v>11</v>
      </c>
      <c r="K48" s="6">
        <v>7752</v>
      </c>
      <c r="L48" s="6">
        <v>155</v>
      </c>
      <c r="M48" s="6">
        <v>94</v>
      </c>
      <c r="N48" s="6">
        <v>39</v>
      </c>
      <c r="O48" s="6">
        <v>785</v>
      </c>
    </row>
    <row r="49" spans="2:15" ht="15">
      <c r="B49" s="4">
        <v>8</v>
      </c>
      <c r="C49" t="s">
        <v>33</v>
      </c>
      <c r="I49" s="5">
        <v>44531</v>
      </c>
      <c r="J49" t="s">
        <v>13</v>
      </c>
      <c r="K49" s="6">
        <v>5132</v>
      </c>
      <c r="L49" s="6">
        <v>102</v>
      </c>
      <c r="M49" s="6">
        <v>75</v>
      </c>
      <c r="N49" s="6">
        <v>46</v>
      </c>
      <c r="O49" s="6">
        <v>714</v>
      </c>
    </row>
    <row r="50" spans="2:15">
      <c r="I50" s="5">
        <v>44531</v>
      </c>
      <c r="J50" t="s">
        <v>10</v>
      </c>
      <c r="K50" s="6">
        <v>6882</v>
      </c>
      <c r="L50" s="6">
        <v>137</v>
      </c>
      <c r="M50" s="6">
        <v>132</v>
      </c>
      <c r="N50" s="6">
        <v>30</v>
      </c>
      <c r="O50" s="6">
        <v>956</v>
      </c>
    </row>
    <row r="51" spans="2:15" ht="15">
      <c r="C51" s="19" t="s">
        <v>0</v>
      </c>
      <c r="D51" s="19" t="s">
        <v>3</v>
      </c>
      <c r="E51" s="19" t="s">
        <v>2</v>
      </c>
      <c r="F51" s="19" t="s">
        <v>34</v>
      </c>
      <c r="I51" s="5">
        <v>44531</v>
      </c>
      <c r="J51" t="s">
        <v>15</v>
      </c>
      <c r="K51" s="6">
        <v>6420</v>
      </c>
      <c r="L51" s="6">
        <v>128</v>
      </c>
      <c r="M51" s="6">
        <v>77</v>
      </c>
      <c r="N51" s="6">
        <v>52</v>
      </c>
      <c r="O51" s="6">
        <v>761</v>
      </c>
    </row>
    <row r="52" spans="2:15">
      <c r="C52" s="20">
        <v>44348</v>
      </c>
      <c r="D52" s="14">
        <f>SUMIFS(data[Uninstalls],data[Month],C52)</f>
        <v>691</v>
      </c>
      <c r="E52" s="14">
        <f>SUMIFS(data[Downloads],data[Month],C52)</f>
        <v>34801</v>
      </c>
      <c r="F52" s="21">
        <f t="shared" ref="F52:F58" si="0">(D52/E52)</f>
        <v>1.9855751271515187E-2</v>
      </c>
      <c r="I52" s="5">
        <v>44531</v>
      </c>
      <c r="J52" t="s">
        <v>16</v>
      </c>
      <c r="K52" s="6">
        <v>5694</v>
      </c>
      <c r="L52" s="6">
        <v>113</v>
      </c>
      <c r="M52" s="6">
        <v>56</v>
      </c>
      <c r="N52" s="6">
        <v>55</v>
      </c>
      <c r="O52" s="6">
        <v>655</v>
      </c>
    </row>
    <row r="53" spans="2:15">
      <c r="C53" s="20">
        <v>44378</v>
      </c>
      <c r="D53" s="14">
        <f>SUMIFS(data[Uninstalls],data[Month],C53)</f>
        <v>894</v>
      </c>
      <c r="E53" s="14">
        <f>SUMIFS(data[Downloads],data[Month],C53)</f>
        <v>44838</v>
      </c>
      <c r="F53" s="21">
        <f t="shared" si="0"/>
        <v>1.9938445068914758E-2</v>
      </c>
    </row>
    <row r="54" spans="2:15">
      <c r="C54" s="20">
        <v>44409</v>
      </c>
      <c r="D54" s="14">
        <f>SUMIFS(data[Uninstalls],data[Month],C54)</f>
        <v>938</v>
      </c>
      <c r="E54" s="14">
        <f>SUMIFS(data[Downloads],data[Month],C54)</f>
        <v>47062</v>
      </c>
      <c r="F54" s="21">
        <f t="shared" si="0"/>
        <v>1.9931154647061324E-2</v>
      </c>
    </row>
    <row r="55" spans="2:15">
      <c r="C55" s="20">
        <v>44440</v>
      </c>
      <c r="D55" s="14">
        <f>SUMIFS(data[Uninstalls],data[Month],C55)</f>
        <v>956</v>
      </c>
      <c r="E55" s="14">
        <f>SUMIFS(data[Downloads],data[Month],C55)</f>
        <v>47987</v>
      </c>
      <c r="F55" s="21">
        <f t="shared" si="0"/>
        <v>1.9922062225185989E-2</v>
      </c>
    </row>
    <row r="56" spans="2:15">
      <c r="C56" s="20">
        <v>44470</v>
      </c>
      <c r="D56" s="14">
        <f>SUMIFS(data[Uninstalls],data[Month],C56)</f>
        <v>802</v>
      </c>
      <c r="E56" s="14">
        <f>SUMIFS(data[Downloads],data[Month],C56)</f>
        <v>40278</v>
      </c>
      <c r="F56" s="21">
        <f t="shared" si="0"/>
        <v>1.9911614280748797E-2</v>
      </c>
    </row>
    <row r="57" spans="2:15">
      <c r="C57" s="20">
        <v>44501</v>
      </c>
      <c r="D57" s="14">
        <f>SUMIFS(data[Uninstalls],data[Month],C57)</f>
        <v>848</v>
      </c>
      <c r="E57" s="14">
        <f>SUMIFS(data[Downloads],data[Month],C57)</f>
        <v>42592</v>
      </c>
      <c r="F57" s="36">
        <f t="shared" si="0"/>
        <v>1.9909842223891812E-2</v>
      </c>
    </row>
    <row r="58" spans="2:15">
      <c r="C58" s="20">
        <v>44531</v>
      </c>
      <c r="D58" s="14">
        <f>SUMIFS(data[Uninstalls],data[Month],C58)</f>
        <v>783</v>
      </c>
      <c r="E58" s="14">
        <f>SUMIFS(data[Downloads],data[Month],C58)</f>
        <v>39330</v>
      </c>
      <c r="F58" s="21">
        <f t="shared" si="0"/>
        <v>1.9908466819221968E-2</v>
      </c>
    </row>
    <row r="60" spans="2:15">
      <c r="E60" s="8" t="s">
        <v>35</v>
      </c>
      <c r="F60" s="22">
        <f>LARGE(F52:F58,1)</f>
        <v>1.9938445068914758E-2</v>
      </c>
    </row>
    <row r="61" spans="2:15">
      <c r="E61" s="8" t="s">
        <v>36</v>
      </c>
      <c r="F61" s="23">
        <f>_xlfn.MAXIFS(C52:C58,F52:F58,F60)</f>
        <v>44378</v>
      </c>
    </row>
    <row r="64" spans="2:15" ht="15">
      <c r="B64" s="4">
        <v>9</v>
      </c>
      <c r="C64" t="s">
        <v>37</v>
      </c>
    </row>
    <row r="66" spans="2:6" ht="15">
      <c r="C66" s="19" t="s">
        <v>0</v>
      </c>
      <c r="D66" s="19" t="s">
        <v>38</v>
      </c>
    </row>
    <row r="67" spans="2:6">
      <c r="C67" s="20">
        <v>44348</v>
      </c>
      <c r="D67" s="24">
        <f>AVERAGEIF(data[Month],C67,data[Downloads])</f>
        <v>4971.5714285714284</v>
      </c>
    </row>
    <row r="68" spans="2:6">
      <c r="C68" s="20">
        <v>44378</v>
      </c>
      <c r="D68" s="24">
        <f>AVERAGEIF(data[Month],C68,data[Downloads])</f>
        <v>6405.4285714285716</v>
      </c>
    </row>
    <row r="69" spans="2:6">
      <c r="C69" s="20">
        <v>44409</v>
      </c>
      <c r="D69" s="24">
        <f>AVERAGEIF(data[Month],C69,data[Downloads])</f>
        <v>6723.1428571428569</v>
      </c>
    </row>
    <row r="70" spans="2:6">
      <c r="C70" s="20">
        <v>44440</v>
      </c>
      <c r="D70" s="24">
        <f>AVERAGEIF(data[Month],C70,data[Downloads])</f>
        <v>6855.2857142857147</v>
      </c>
    </row>
    <row r="71" spans="2:6">
      <c r="C71" s="20">
        <v>44470</v>
      </c>
      <c r="D71" s="24">
        <f>AVERAGEIF(data[Month],C71,data[Downloads])</f>
        <v>5754</v>
      </c>
    </row>
    <row r="72" spans="2:6">
      <c r="C72" s="20">
        <v>44501</v>
      </c>
      <c r="D72" s="24">
        <f>AVERAGEIF(data[Month],C72,data[Downloads])</f>
        <v>6084.5714285714284</v>
      </c>
    </row>
    <row r="73" spans="2:6">
      <c r="C73" s="20">
        <v>44531</v>
      </c>
      <c r="D73" s="24">
        <f>AVERAGEIF(data[Month],C73,data[Downloads])</f>
        <v>5618.5714285714284</v>
      </c>
    </row>
    <row r="76" spans="2:6" ht="15">
      <c r="B76" s="4">
        <v>10</v>
      </c>
      <c r="C76" t="s">
        <v>39</v>
      </c>
    </row>
    <row r="77" spans="2:6" ht="15">
      <c r="B77" s="25">
        <v>11</v>
      </c>
      <c r="C77" t="s">
        <v>40</v>
      </c>
    </row>
    <row r="79" spans="2:6" ht="15">
      <c r="C79" s="19"/>
      <c r="D79" s="26" t="s">
        <v>2</v>
      </c>
      <c r="E79" s="19" t="s">
        <v>41</v>
      </c>
      <c r="F79" s="19" t="s">
        <v>42</v>
      </c>
    </row>
    <row r="80" spans="2:6">
      <c r="C80" s="14" t="s">
        <v>43</v>
      </c>
      <c r="D80" s="27">
        <f>LARGE(data[Downloads],1)</f>
        <v>10028</v>
      </c>
      <c r="E80" s="28" t="str">
        <f>_xlfn.XLOOKUP(D80,data[Downloads],data[App])</f>
        <v>Chocolate Crossing</v>
      </c>
      <c r="F80" s="29">
        <f>_xlfn.XLOOKUP(D80,data[Downloads],data[Month])</f>
        <v>44409</v>
      </c>
    </row>
    <row r="81" spans="2:9">
      <c r="C81" s="14" t="s">
        <v>44</v>
      </c>
      <c r="D81" s="27">
        <f>LARGE(data[Downloads],2)</f>
        <v>9195</v>
      </c>
      <c r="E81" s="28" t="str">
        <f>_xlfn.XLOOKUP(D81,data[Downloads],data[App])</f>
        <v>Where is my Coco?</v>
      </c>
      <c r="F81" s="29">
        <f>_xlfn.XLOOKUP(D81,data[Downloads],data[Month])</f>
        <v>44501</v>
      </c>
    </row>
    <row r="82" spans="2:9">
      <c r="C82" s="14" t="s">
        <v>45</v>
      </c>
      <c r="D82" s="27">
        <f>LARGE(data[Downloads],3)</f>
        <v>8586</v>
      </c>
      <c r="E82" s="28" t="str">
        <f>_xlfn.XLOOKUP(D82,data[Downloads],data[App])</f>
        <v>Crushed by Candies</v>
      </c>
      <c r="F82" s="29">
        <f>_xlfn.XLOOKUP(D82,data[Downloads],data[Month])</f>
        <v>44378</v>
      </c>
    </row>
    <row r="85" spans="2:9" ht="15">
      <c r="B85" s="4">
        <v>12</v>
      </c>
      <c r="C85" t="s">
        <v>46</v>
      </c>
    </row>
    <row r="86" spans="2:9" ht="15">
      <c r="B86" s="25">
        <v>13</v>
      </c>
      <c r="C86" t="s">
        <v>47</v>
      </c>
    </row>
    <row r="88" spans="2:9" ht="15">
      <c r="C88" s="19" t="s">
        <v>0</v>
      </c>
      <c r="D88" s="30">
        <v>44470</v>
      </c>
      <c r="E88" s="30">
        <v>44531</v>
      </c>
    </row>
    <row r="89" spans="2:9">
      <c r="C89" s="14" t="s">
        <v>48</v>
      </c>
      <c r="D89" s="14">
        <f>_xlfn.MAXIFS(data[1 star ratings],data[Month],D88)</f>
        <v>47</v>
      </c>
      <c r="E89" s="14">
        <v>55</v>
      </c>
    </row>
    <row r="91" spans="2:9">
      <c r="C91" s="31" t="s">
        <v>49</v>
      </c>
      <c r="D91" s="27" t="str">
        <f>_xlfn.XLOOKUP(D89,data[1 star ratings],data[App])</f>
        <v>Where is my Coco?</v>
      </c>
      <c r="E91" s="32" t="str">
        <f>_xlfn.XLOOKUP(E89,data[1 star ratings],data[App])</f>
        <v>Subway Wafers</v>
      </c>
      <c r="F91" t="str">
        <f>INDEX(data[App],MATCH(_xlfn.MAXIFS(data[1 star ratings],data[Month],E88),data[1 star ratings],0))</f>
        <v>Subway Wafers</v>
      </c>
    </row>
    <row r="92" spans="2:9" ht="15">
      <c r="C92" s="33" t="s">
        <v>50</v>
      </c>
      <c r="D92" s="27" t="str" cm="1">
        <f t="array" ref="D92:D93">_xlfn._xlws.FILTER(data[App],(data[Month]=D88)*(data[1 star ratings]=_xlfn.MAXIFS(data[1 star ratings],data[Month],D88)))</f>
        <v>Where is my Coco?</v>
      </c>
      <c r="E92" s="32" t="str" cm="1">
        <f t="array" ref="E92">_xlfn._xlws.FILTER(data[App],(data[Month]=E88)*(data[1 star ratings]=E89))</f>
        <v>Temple Bun</v>
      </c>
      <c r="I92" t="s">
        <v>57</v>
      </c>
    </row>
    <row r="93" spans="2:9">
      <c r="D93" s="27" t="str">
        <v>Sugar Rush</v>
      </c>
    </row>
    <row r="95" spans="2:9" ht="15">
      <c r="B95" s="4">
        <v>14</v>
      </c>
      <c r="C95" t="s">
        <v>51</v>
      </c>
    </row>
    <row r="97" spans="2:5" ht="15">
      <c r="C97" s="19" t="s">
        <v>52</v>
      </c>
      <c r="D97" s="19" t="s">
        <v>53</v>
      </c>
      <c r="E97" s="34" t="s">
        <v>0</v>
      </c>
    </row>
    <row r="98" spans="2:5">
      <c r="C98" s="7" t="s">
        <v>8</v>
      </c>
      <c r="D98" s="8">
        <f>_xlfn.MAXIFS(data[Downloads],data[App],C98)</f>
        <v>8586</v>
      </c>
      <c r="E98" s="35" cm="1">
        <f t="array" ref="E98">_xlfn._xlws.FILTER(data[Month],(data[App]=C98)*(data[Downloads]=D98))</f>
        <v>44378</v>
      </c>
    </row>
    <row r="99" spans="2:5">
      <c r="C99" s="7" t="s">
        <v>9</v>
      </c>
      <c r="D99" s="8">
        <f>_xlfn.MAXIFS(data[Downloads],data[App],C99)</f>
        <v>10028</v>
      </c>
      <c r="E99" s="35" cm="1">
        <f t="array" ref="E99">_xlfn._xlws.FILTER(data[Month],(data[App]=C99)*(data[Downloads]=D99))</f>
        <v>44409</v>
      </c>
    </row>
    <row r="100" spans="2:5">
      <c r="C100" s="7" t="s">
        <v>11</v>
      </c>
      <c r="D100" s="8">
        <f>_xlfn.MAXIFS(data[Downloads],data[App],C100)</f>
        <v>7909</v>
      </c>
      <c r="E100" s="35" cm="1">
        <f t="array" ref="E100">_xlfn._xlws.FILTER(data[Month],(data[App]=C100)*(data[Downloads]=D100))</f>
        <v>44409</v>
      </c>
    </row>
    <row r="101" spans="2:5">
      <c r="C101" s="7" t="s">
        <v>13</v>
      </c>
      <c r="D101" s="8">
        <f>_xlfn.MAXIFS(data[Downloads],data[App],C101)</f>
        <v>9195</v>
      </c>
      <c r="E101" s="35" cm="1">
        <f t="array" ref="E101">_xlfn._xlws.FILTER(data[Month],(data[App]=C101)*(data[Downloads]=D101))</f>
        <v>44501</v>
      </c>
    </row>
    <row r="102" spans="2:5">
      <c r="C102" s="7" t="s">
        <v>10</v>
      </c>
      <c r="D102" s="8">
        <f>_xlfn.MAXIFS(data[Downloads],data[App],C102)</f>
        <v>7488</v>
      </c>
      <c r="E102" s="35" cm="1">
        <f t="array" ref="E102">_xlfn._xlws.FILTER(data[Month],(data[App]=C102)*(data[Downloads]=D102))</f>
        <v>44501</v>
      </c>
    </row>
    <row r="103" spans="2:5">
      <c r="C103" s="7" t="s">
        <v>15</v>
      </c>
      <c r="D103" s="8">
        <f>_xlfn.MAXIFS(data[Downloads],data[App],C103)</f>
        <v>7092</v>
      </c>
      <c r="E103" s="35" cm="1">
        <f t="array" ref="E103">_xlfn._xlws.FILTER(data[Month],(data[App]=C103)*(data[Downloads]=D103))</f>
        <v>44470</v>
      </c>
    </row>
    <row r="104" spans="2:5">
      <c r="C104" s="7" t="s">
        <v>16</v>
      </c>
      <c r="D104" s="8">
        <f>_xlfn.MAXIFS(data[Downloads],data[App],C104)</f>
        <v>8453</v>
      </c>
      <c r="E104" s="35" cm="1">
        <f t="array" ref="E104">_xlfn._xlws.FILTER(data[Month],(data[App]=C104)*(data[Downloads]=D104))</f>
        <v>44440</v>
      </c>
    </row>
    <row r="106" spans="2:5" ht="15">
      <c r="B106" s="4">
        <v>15</v>
      </c>
      <c r="C106" t="s">
        <v>54</v>
      </c>
    </row>
    <row r="108" spans="2:5" ht="15">
      <c r="C108" s="19" t="s">
        <v>0</v>
      </c>
      <c r="D108" s="26" t="s">
        <v>55</v>
      </c>
      <c r="E108" s="19" t="s">
        <v>41</v>
      </c>
    </row>
    <row r="109" spans="2:5">
      <c r="C109" s="20">
        <v>44348</v>
      </c>
      <c r="D109" s="27">
        <f>_xlfn.MINIFS(data[Downloads],data[Month],C109)</f>
        <v>1837</v>
      </c>
      <c r="E109" s="8" t="str" cm="1">
        <f t="array" ref="E109">_xlfn._xlws.FILTER(data[App],(data[Month]=C109)*(data[Downloads]=D109))</f>
        <v>Temple Bun</v>
      </c>
    </row>
    <row r="110" spans="2:5">
      <c r="C110" s="20">
        <v>44378</v>
      </c>
      <c r="D110" s="27">
        <f>_xlfn.MINIFS(data[Downloads],data[Month],C110)</f>
        <v>4576</v>
      </c>
      <c r="E110" s="8" t="str" cm="1">
        <f t="array" ref="E110">_xlfn._xlws.FILTER(data[App],(data[Month]=C110)*(data[Downloads]=D110))</f>
        <v>Subway Wafers</v>
      </c>
    </row>
    <row r="111" spans="2:5">
      <c r="C111" s="20">
        <v>44409</v>
      </c>
      <c r="D111" s="27">
        <f>_xlfn.MINIFS(data[Downloads],data[Month],C111)</f>
        <v>4856</v>
      </c>
      <c r="E111" s="8" t="str" cm="1">
        <f t="array" ref="E111">_xlfn._xlws.FILTER(data[App],(data[Month]=C111)*(data[Downloads]=D111))</f>
        <v>Crushed by Candies</v>
      </c>
    </row>
    <row r="112" spans="2:5">
      <c r="C112" s="20">
        <v>44440</v>
      </c>
      <c r="D112" s="27">
        <f>_xlfn.MINIFS(data[Downloads],data[Month],C112)</f>
        <v>4879</v>
      </c>
      <c r="E112" s="8" t="str" cm="1">
        <f t="array" ref="E112">_xlfn._xlws.FILTER(data[App],(data[Month]=C112)*(data[Downloads]=D112))</f>
        <v>Subway Wafers</v>
      </c>
    </row>
    <row r="113" spans="3:5">
      <c r="C113" s="20">
        <v>44470</v>
      </c>
      <c r="D113" s="27">
        <f>_xlfn.MINIFS(data[Downloads],data[Month],C113)</f>
        <v>4340</v>
      </c>
      <c r="E113" s="8" t="str" cm="1">
        <f t="array" ref="E113">_xlfn._xlws.FILTER(data[App],(data[Month]=C113)*(data[Downloads]=D113))</f>
        <v>Temple Bun</v>
      </c>
    </row>
    <row r="114" spans="3:5">
      <c r="C114" s="20">
        <v>44501</v>
      </c>
      <c r="D114" s="27">
        <f>_xlfn.MINIFS(data[Downloads],data[Month],C114)</f>
        <v>2849</v>
      </c>
      <c r="E114" s="8" t="str" cm="1">
        <f t="array" ref="E114">_xlfn._xlws.FILTER(data[App],(data[Month]=C114)*(data[Downloads]=D114))</f>
        <v>Subway Wafers</v>
      </c>
    </row>
    <row r="115" spans="3:5">
      <c r="C115" s="20">
        <v>44531</v>
      </c>
      <c r="D115" s="27">
        <f>_xlfn.MINIFS(data[Downloads],data[Month],C115)</f>
        <v>2297</v>
      </c>
      <c r="E115" s="8" t="str" cm="1">
        <f t="array" ref="E115">_xlfn._xlws.FILTER(data[App],(data[Month]=C115)*(data[Downloads]=D115))</f>
        <v>Crushed by Candies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tops</dc:creator>
  <cp:lastModifiedBy>My</cp:lastModifiedBy>
  <dcterms:created xsi:type="dcterms:W3CDTF">2025-11-13T05:59:18Z</dcterms:created>
  <dcterms:modified xsi:type="dcterms:W3CDTF">2026-05-28T10:35:29Z</dcterms:modified>
</cp:coreProperties>
</file>